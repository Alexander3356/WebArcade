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3° Anno\"/>
    </mc:Choice>
  </mc:AlternateContent>
  <xr:revisionPtr revIDLastSave="0" documentId="13_ncr:1_{250FC0CD-66F9-4154-8FFB-F377573F8AE7}" xr6:coauthVersionLast="47" xr6:coauthVersionMax="47" xr10:uidLastSave="{00000000-0000-0000-0000-000000000000}"/>
  <bookViews>
    <workbookView xWindow="735" yWindow="1605" windowWidth="27660" windowHeight="15630" xr2:uid="{3CAE8CAE-EE2C-406F-B264-0044B005FA96}"/>
  </bookViews>
  <sheets>
    <sheet name="Foglio1" sheetId="1" r:id="rId1"/>
  </sheets>
  <definedNames>
    <definedName name="_xlnm._FilterDatabase" localSheetId="0" hidden="1">Foglio1!$C$4:$C$40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6" i="1"/>
  <c r="D5" i="1"/>
</calcChain>
</file>

<file path=xl/sharedStrings.xml><?xml version="1.0" encoding="utf-8"?>
<sst xmlns="http://schemas.openxmlformats.org/spreadsheetml/2006/main" count="363" uniqueCount="40">
  <si>
    <t>FASE</t>
  </si>
  <si>
    <t>ATTIVITA'</t>
  </si>
  <si>
    <t>GANNT P/C</t>
  </si>
  <si>
    <t>Durata in ore</t>
  </si>
  <si>
    <t>P</t>
  </si>
  <si>
    <t>C</t>
  </si>
  <si>
    <t>X</t>
  </si>
  <si>
    <t>Data inizio</t>
  </si>
  <si>
    <t>Data fine</t>
  </si>
  <si>
    <t>giorno 1</t>
  </si>
  <si>
    <t>Gioco (Base)</t>
  </si>
  <si>
    <t>1.3 Blocchi</t>
  </si>
  <si>
    <t>1.2 Rimbalzo pallina</t>
  </si>
  <si>
    <t>1.1 Movimento giocatore</t>
  </si>
  <si>
    <t>1.4 Punteggio</t>
  </si>
  <si>
    <t>Funzionalità extra</t>
  </si>
  <si>
    <t>2.1 Menu</t>
  </si>
  <si>
    <t>2.2 Spiegazione comandi</t>
  </si>
  <si>
    <t>Gioco (Avanzato)</t>
  </si>
  <si>
    <t>3.1 Potenziamenti (semplici)</t>
  </si>
  <si>
    <t>Altro</t>
  </si>
  <si>
    <t>4.1 Documentazione</t>
  </si>
  <si>
    <t>3.2 Potenziamenti (avanzati)</t>
  </si>
  <si>
    <t>3.3 Boss</t>
  </si>
  <si>
    <t>3.4 Sistema per evitare proiettili</t>
  </si>
  <si>
    <t>3.5 Modalità 2 giocatori</t>
  </si>
  <si>
    <t>giorno 2</t>
  </si>
  <si>
    <t>giorno 3</t>
  </si>
  <si>
    <t>giorno 4</t>
  </si>
  <si>
    <t>giorno 5</t>
  </si>
  <si>
    <t>2.3  Pausa</t>
  </si>
  <si>
    <t>2.4 Leaderboard</t>
  </si>
  <si>
    <t>2.5 Sistema per salvare gli utenti</t>
  </si>
  <si>
    <t>2.6 Suoni e musica</t>
  </si>
  <si>
    <t>giorno 6</t>
  </si>
  <si>
    <t>giorno 7</t>
  </si>
  <si>
    <t>giorno 8</t>
  </si>
  <si>
    <t>giorno 9</t>
  </si>
  <si>
    <t>giorno 10</t>
  </si>
  <si>
    <t>giorno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</si>
</sst>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14" fontId="0" fillId="0" borderId="0" xfId="0" applyNumberFormat="1" applyFont="1"/>
    <xf numFmtId="0" fontId="3" fillId="0" borderId="0" xfId="0" applyFont="1"/>
  </cellXfs>
  <cellStyles count="1">
    <cellStyle name="Normale" xfId="0" builtinId="0"/>
  </cellStyles>
  <dxfs count="2"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C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9189-034E-45B1-BA1F-E2106A9C0399}">
  <dimension ref="A3:DB55"/>
  <sheetViews>
    <sheetView tabSelected="1" zoomScaleNormal="100" workbookViewId="0">
      <selection activeCell="CK12" sqref="CK12"/>
    </sheetView>
  </sheetViews>
  <sheetFormatPr defaultRowHeight="15" x14ac:dyDescent="0.25"/>
  <cols>
    <col min="1" max="1" width="11.5703125" bestFit="1" customWidth="1"/>
    <col min="2" max="2" width="44.5703125" bestFit="1" customWidth="1"/>
    <col min="3" max="3" width="15" hidden="1" customWidth="1"/>
    <col min="4" max="4" width="13.140625" bestFit="1" customWidth="1"/>
    <col min="5" max="6" width="12" bestFit="1" customWidth="1"/>
    <col min="7" max="82" width="1.85546875" customWidth="1"/>
    <col min="83" max="107" width="1.7109375" customWidth="1"/>
  </cols>
  <sheetData>
    <row r="3" spans="1:106" x14ac:dyDescent="0.25">
      <c r="G3" s="2" t="s">
        <v>9</v>
      </c>
      <c r="H3" s="2"/>
      <c r="I3" s="2"/>
      <c r="J3" s="2"/>
      <c r="K3" s="2" t="s">
        <v>26</v>
      </c>
      <c r="L3" s="2"/>
      <c r="M3" s="2"/>
      <c r="N3" s="2"/>
      <c r="O3" s="2"/>
      <c r="P3" s="2" t="s">
        <v>27</v>
      </c>
      <c r="Q3" s="2"/>
      <c r="R3" s="2"/>
      <c r="S3" s="2"/>
      <c r="T3" s="2" t="s">
        <v>28</v>
      </c>
      <c r="U3" s="2"/>
      <c r="V3" s="2"/>
      <c r="W3" s="2"/>
      <c r="X3" s="2"/>
      <c r="Y3" s="2"/>
      <c r="Z3" s="2"/>
      <c r="AA3" s="2" t="s">
        <v>29</v>
      </c>
      <c r="AB3" s="2"/>
      <c r="AC3" s="2"/>
      <c r="AD3" s="2"/>
      <c r="AE3" s="2"/>
      <c r="AF3" s="2"/>
      <c r="AG3" s="2"/>
      <c r="AH3" s="2"/>
      <c r="AI3" s="2" t="s">
        <v>34</v>
      </c>
      <c r="AJ3" s="2"/>
      <c r="AK3" s="2"/>
      <c r="AL3" s="2"/>
      <c r="AM3" s="2"/>
      <c r="AN3" s="2"/>
      <c r="AO3" s="2"/>
      <c r="AP3" s="2"/>
      <c r="AQ3" s="2" t="s">
        <v>35</v>
      </c>
      <c r="AR3" s="2"/>
      <c r="AS3" s="2"/>
      <c r="AT3" s="2"/>
      <c r="AU3" s="2"/>
      <c r="AV3" s="2"/>
      <c r="AW3" s="2"/>
      <c r="AX3" s="2"/>
      <c r="AY3" s="2" t="s">
        <v>36</v>
      </c>
      <c r="AZ3" s="2"/>
      <c r="BA3" s="2"/>
      <c r="BB3" s="2"/>
      <c r="BC3" s="2"/>
      <c r="BD3" s="2"/>
      <c r="BE3" s="2"/>
      <c r="BF3" s="2"/>
      <c r="BG3" s="2" t="s">
        <v>37</v>
      </c>
      <c r="BH3" s="2"/>
      <c r="BI3" s="2"/>
      <c r="BJ3" s="2"/>
      <c r="BK3" s="2"/>
      <c r="BL3" s="2"/>
      <c r="BM3" s="2"/>
      <c r="BN3" s="2"/>
      <c r="BO3" s="2" t="s">
        <v>38</v>
      </c>
      <c r="BP3" s="2"/>
      <c r="BQ3" s="2"/>
      <c r="BR3" s="2"/>
      <c r="BS3" s="2"/>
      <c r="BT3" s="2"/>
      <c r="BU3" s="2"/>
      <c r="BV3" s="2"/>
      <c r="BW3" s="2" t="s">
        <v>39</v>
      </c>
      <c r="BX3" s="2"/>
      <c r="BY3" s="2"/>
      <c r="BZ3" s="2"/>
      <c r="CA3" s="2"/>
      <c r="CB3" s="2"/>
      <c r="CC3" s="2"/>
      <c r="CD3" s="2"/>
      <c r="CE3" s="4"/>
      <c r="CF3" s="4"/>
      <c r="CG3" s="4"/>
      <c r="CH3" s="4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</row>
    <row r="4" spans="1:106" x14ac:dyDescent="0.25">
      <c r="A4" t="s">
        <v>0</v>
      </c>
      <c r="B4" t="s">
        <v>1</v>
      </c>
      <c r="C4" t="s">
        <v>2</v>
      </c>
      <c r="D4" t="s">
        <v>3</v>
      </c>
      <c r="E4" t="s">
        <v>7</v>
      </c>
      <c r="F4" t="s">
        <v>8</v>
      </c>
      <c r="G4" s="2">
        <v>2</v>
      </c>
      <c r="H4" s="2"/>
      <c r="I4" s="2">
        <v>4</v>
      </c>
      <c r="J4" s="2"/>
      <c r="K4" s="2">
        <v>2</v>
      </c>
      <c r="L4" s="2"/>
      <c r="M4" s="2">
        <v>4</v>
      </c>
      <c r="N4" s="2"/>
      <c r="O4" s="4">
        <v>5</v>
      </c>
      <c r="P4" s="2">
        <v>2</v>
      </c>
      <c r="Q4" s="2"/>
      <c r="R4" s="2">
        <v>4</v>
      </c>
      <c r="S4" s="2"/>
      <c r="T4" s="2">
        <v>2</v>
      </c>
      <c r="U4" s="2"/>
      <c r="V4" s="2">
        <v>4</v>
      </c>
      <c r="W4" s="2"/>
      <c r="X4" s="2">
        <v>6</v>
      </c>
      <c r="Y4" s="2"/>
      <c r="Z4" s="4">
        <v>7</v>
      </c>
      <c r="AA4" s="2">
        <v>2</v>
      </c>
      <c r="AB4" s="2"/>
      <c r="AC4" s="2">
        <v>4</v>
      </c>
      <c r="AD4" s="2"/>
      <c r="AE4" s="2">
        <v>6</v>
      </c>
      <c r="AF4" s="2"/>
      <c r="AG4" s="2">
        <v>8</v>
      </c>
      <c r="AH4" s="2"/>
      <c r="AI4" s="2">
        <v>2</v>
      </c>
      <c r="AJ4" s="2"/>
      <c r="AK4" s="2">
        <v>4</v>
      </c>
      <c r="AL4" s="2"/>
      <c r="AM4" s="2">
        <v>6</v>
      </c>
      <c r="AN4" s="2"/>
      <c r="AO4" s="2">
        <v>8</v>
      </c>
      <c r="AP4" s="2"/>
      <c r="AQ4" s="2">
        <v>2</v>
      </c>
      <c r="AR4" s="2"/>
      <c r="AS4" s="2">
        <v>4</v>
      </c>
      <c r="AT4" s="2"/>
      <c r="AU4" s="2">
        <v>6</v>
      </c>
      <c r="AV4" s="2"/>
      <c r="AW4" s="2">
        <v>8</v>
      </c>
      <c r="AX4" s="2"/>
      <c r="AY4" s="2">
        <v>2</v>
      </c>
      <c r="AZ4" s="2"/>
      <c r="BA4" s="2">
        <v>4</v>
      </c>
      <c r="BB4" s="2"/>
      <c r="BC4" s="2">
        <v>6</v>
      </c>
      <c r="BD4" s="2"/>
      <c r="BE4" s="2">
        <v>8</v>
      </c>
      <c r="BF4" s="2"/>
      <c r="BG4" s="2">
        <v>2</v>
      </c>
      <c r="BH4" s="2"/>
      <c r="BI4" s="2">
        <v>4</v>
      </c>
      <c r="BJ4" s="2"/>
      <c r="BK4" s="2">
        <v>6</v>
      </c>
      <c r="BL4" s="2"/>
      <c r="BM4" s="2">
        <v>8</v>
      </c>
      <c r="BN4" s="2"/>
      <c r="BO4" s="2">
        <v>2</v>
      </c>
      <c r="BP4" s="2"/>
      <c r="BQ4" s="2">
        <v>4</v>
      </c>
      <c r="BR4" s="2"/>
      <c r="BS4" s="2">
        <v>6</v>
      </c>
      <c r="BT4" s="2"/>
      <c r="BU4" s="2">
        <v>8</v>
      </c>
      <c r="BV4" s="2"/>
      <c r="BW4" s="2">
        <v>2</v>
      </c>
      <c r="BX4" s="2"/>
      <c r="BY4" s="2">
        <v>4</v>
      </c>
      <c r="BZ4" s="2"/>
      <c r="CA4" s="2">
        <v>6</v>
      </c>
      <c r="CB4" s="2"/>
      <c r="CC4" s="2">
        <v>8</v>
      </c>
      <c r="CD4" s="2"/>
    </row>
    <row r="5" spans="1:106" x14ac:dyDescent="0.25">
      <c r="A5" s="3" t="s">
        <v>10</v>
      </c>
      <c r="B5" t="s">
        <v>13</v>
      </c>
      <c r="C5" t="s">
        <v>4</v>
      </c>
      <c r="D5">
        <f>COUNTIF(G5:DB5,"X")</f>
        <v>2</v>
      </c>
      <c r="E5" s="9">
        <v>45926</v>
      </c>
      <c r="F5" s="9">
        <v>45926</v>
      </c>
      <c r="I5" t="s">
        <v>6</v>
      </c>
      <c r="J5" t="s">
        <v>6</v>
      </c>
    </row>
    <row r="6" spans="1:106" x14ac:dyDescent="0.25">
      <c r="A6" s="3"/>
      <c r="B6" t="s">
        <v>13</v>
      </c>
      <c r="C6" t="s">
        <v>5</v>
      </c>
      <c r="D6">
        <f>COUNTIF(G6:DB6,"C")</f>
        <v>2</v>
      </c>
      <c r="E6" s="9">
        <v>45926</v>
      </c>
      <c r="F6" s="9">
        <v>45926</v>
      </c>
      <c r="I6" t="s">
        <v>5</v>
      </c>
      <c r="J6" t="s">
        <v>5</v>
      </c>
    </row>
    <row r="7" spans="1:106" x14ac:dyDescent="0.25">
      <c r="A7" s="3"/>
      <c r="B7" t="s">
        <v>12</v>
      </c>
      <c r="C7" t="s">
        <v>4</v>
      </c>
      <c r="D7">
        <f t="shared" ref="D7:D36" si="0">COUNTIF(G7:DB7,"X")</f>
        <v>2</v>
      </c>
      <c r="E7" s="9">
        <v>45933</v>
      </c>
      <c r="F7" s="9">
        <v>45933</v>
      </c>
      <c r="K7" t="s">
        <v>6</v>
      </c>
      <c r="L7" t="s">
        <v>6</v>
      </c>
    </row>
    <row r="8" spans="1:106" x14ac:dyDescent="0.25">
      <c r="A8" s="3"/>
      <c r="B8" t="s">
        <v>12</v>
      </c>
      <c r="C8" t="s">
        <v>5</v>
      </c>
      <c r="D8">
        <f t="shared" ref="D8:D36" si="1">COUNTIF(G8:DB8,"C")</f>
        <v>2</v>
      </c>
      <c r="E8" s="9">
        <v>45933</v>
      </c>
      <c r="F8" s="9">
        <v>45933</v>
      </c>
      <c r="K8" t="s">
        <v>5</v>
      </c>
      <c r="L8" t="s">
        <v>5</v>
      </c>
    </row>
    <row r="9" spans="1:106" x14ac:dyDescent="0.25">
      <c r="A9" s="3"/>
      <c r="B9" t="s">
        <v>11</v>
      </c>
      <c r="C9" t="s">
        <v>4</v>
      </c>
      <c r="D9">
        <f t="shared" ref="D9:D36" si="2">COUNTIF(G9:DB9,"X")</f>
        <v>8</v>
      </c>
      <c r="E9" s="9">
        <v>45933</v>
      </c>
      <c r="F9" s="9">
        <v>45947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</row>
    <row r="10" spans="1:106" x14ac:dyDescent="0.25">
      <c r="A10" s="3"/>
      <c r="B10" t="s">
        <v>11</v>
      </c>
      <c r="C10" t="s">
        <v>5</v>
      </c>
      <c r="D10">
        <f t="shared" ref="D10:D36" si="3">COUNTIF(G10:DB10,"C")</f>
        <v>4</v>
      </c>
      <c r="E10" s="9">
        <v>45933</v>
      </c>
      <c r="F10" s="9">
        <v>45940</v>
      </c>
      <c r="M10" t="s">
        <v>5</v>
      </c>
      <c r="N10" t="s">
        <v>5</v>
      </c>
      <c r="O10" t="s">
        <v>5</v>
      </c>
      <c r="P10" t="s">
        <v>5</v>
      </c>
    </row>
    <row r="11" spans="1:106" x14ac:dyDescent="0.25">
      <c r="A11" s="3"/>
      <c r="B11" t="s">
        <v>14</v>
      </c>
      <c r="C11" t="s">
        <v>4</v>
      </c>
      <c r="D11">
        <f t="shared" ref="D11:D36" si="4">COUNTIF(G11:DB11,"X")</f>
        <v>1</v>
      </c>
      <c r="E11" s="9">
        <v>45947</v>
      </c>
      <c r="F11" s="9">
        <v>45947</v>
      </c>
      <c r="U11" t="s">
        <v>6</v>
      </c>
    </row>
    <row r="12" spans="1:106" x14ac:dyDescent="0.25">
      <c r="A12" s="3"/>
      <c r="B12" t="s">
        <v>14</v>
      </c>
      <c r="C12" t="s">
        <v>5</v>
      </c>
      <c r="D12">
        <f t="shared" ref="D12:D36" si="5">COUNTIF(G12:DB12,"C")</f>
        <v>1</v>
      </c>
      <c r="E12" s="9">
        <v>45940</v>
      </c>
      <c r="F12" s="9">
        <v>45940</v>
      </c>
      <c r="Q12" t="s">
        <v>5</v>
      </c>
    </row>
    <row r="13" spans="1:106" x14ac:dyDescent="0.25">
      <c r="A13" s="6" t="s">
        <v>15</v>
      </c>
      <c r="B13" t="s">
        <v>16</v>
      </c>
      <c r="C13" t="s">
        <v>4</v>
      </c>
      <c r="D13">
        <f t="shared" ref="D13:D36" si="6">COUNTIF(G13:DB13,"X")</f>
        <v>2</v>
      </c>
      <c r="E13" s="9">
        <v>45947</v>
      </c>
      <c r="F13" s="9">
        <v>45947</v>
      </c>
      <c r="V13" t="s">
        <v>6</v>
      </c>
      <c r="W13" t="s">
        <v>6</v>
      </c>
    </row>
    <row r="14" spans="1:106" x14ac:dyDescent="0.25">
      <c r="A14" s="6"/>
      <c r="B14" t="s">
        <v>16</v>
      </c>
      <c r="C14" t="s">
        <v>5</v>
      </c>
      <c r="D14">
        <f t="shared" ref="D14:D36" si="7">COUNTIF(G14:DB14,"C")</f>
        <v>2</v>
      </c>
      <c r="E14" s="9">
        <v>45940</v>
      </c>
      <c r="F14" s="9">
        <v>45940</v>
      </c>
      <c r="R14" t="s">
        <v>5</v>
      </c>
      <c r="S14" t="s">
        <v>5</v>
      </c>
    </row>
    <row r="15" spans="1:106" x14ac:dyDescent="0.25">
      <c r="A15" s="6"/>
      <c r="B15" t="s">
        <v>17</v>
      </c>
      <c r="C15" t="s">
        <v>4</v>
      </c>
      <c r="D15">
        <f t="shared" ref="D15:D36" si="8">COUNTIF(G15:DB15,"X")</f>
        <v>2</v>
      </c>
      <c r="E15" s="9">
        <v>45947</v>
      </c>
      <c r="F15" s="9">
        <v>45947</v>
      </c>
      <c r="X15" t="s">
        <v>6</v>
      </c>
      <c r="Y15" t="s">
        <v>6</v>
      </c>
    </row>
    <row r="16" spans="1:106" x14ac:dyDescent="0.25">
      <c r="A16" s="6"/>
      <c r="B16" t="s">
        <v>17</v>
      </c>
      <c r="C16" t="s">
        <v>5</v>
      </c>
      <c r="D16">
        <f t="shared" ref="D16:D36" si="9">COUNTIF(G16:DB16,"C")</f>
        <v>2</v>
      </c>
      <c r="E16" s="9">
        <v>45947</v>
      </c>
      <c r="F16" s="9">
        <v>45947</v>
      </c>
      <c r="T16" t="s">
        <v>5</v>
      </c>
      <c r="U16" t="s">
        <v>5</v>
      </c>
    </row>
    <row r="17" spans="1:67" x14ac:dyDescent="0.25">
      <c r="A17" s="6"/>
      <c r="B17" t="s">
        <v>30</v>
      </c>
      <c r="C17" t="s">
        <v>4</v>
      </c>
      <c r="D17">
        <f t="shared" ref="D17:D36" si="10">COUNTIF(G17:DB17,"X")</f>
        <v>2</v>
      </c>
      <c r="E17" s="9">
        <v>45947</v>
      </c>
      <c r="F17" s="9">
        <v>45954</v>
      </c>
      <c r="Z17" t="s">
        <v>6</v>
      </c>
      <c r="AA17" t="s">
        <v>6</v>
      </c>
    </row>
    <row r="18" spans="1:67" x14ac:dyDescent="0.25">
      <c r="A18" s="6"/>
      <c r="B18" t="s">
        <v>30</v>
      </c>
      <c r="C18" t="s">
        <v>5</v>
      </c>
      <c r="D18">
        <f t="shared" ref="D18:D36" si="11">COUNTIF(G18:DB18,"C")</f>
        <v>4</v>
      </c>
      <c r="E18" s="9">
        <v>45947</v>
      </c>
      <c r="F18" s="9">
        <v>45947</v>
      </c>
      <c r="V18" t="s">
        <v>5</v>
      </c>
      <c r="W18" t="s">
        <v>5</v>
      </c>
      <c r="X18" t="s">
        <v>5</v>
      </c>
      <c r="Y18" t="s">
        <v>5</v>
      </c>
    </row>
    <row r="19" spans="1:67" x14ac:dyDescent="0.25">
      <c r="A19" s="6"/>
      <c r="B19" t="s">
        <v>31</v>
      </c>
      <c r="C19" t="s">
        <v>4</v>
      </c>
      <c r="D19">
        <f t="shared" ref="D19:D36" si="12">COUNTIF(G19:DB19,"X")</f>
        <v>2</v>
      </c>
      <c r="E19" s="9">
        <v>45954</v>
      </c>
      <c r="F19" s="9">
        <v>45954</v>
      </c>
      <c r="AB19" t="s">
        <v>6</v>
      </c>
      <c r="AC19" t="s">
        <v>6</v>
      </c>
    </row>
    <row r="20" spans="1:67" x14ac:dyDescent="0.25">
      <c r="A20" s="6"/>
      <c r="B20" t="s">
        <v>31</v>
      </c>
      <c r="C20" t="s">
        <v>5</v>
      </c>
      <c r="D20">
        <f t="shared" ref="D20:D36" si="13">COUNTIF(G20:DB20,"C")</f>
        <v>2</v>
      </c>
      <c r="E20" s="9">
        <v>45947</v>
      </c>
      <c r="F20" s="9">
        <v>45947</v>
      </c>
      <c r="Z20" t="s">
        <v>5</v>
      </c>
      <c r="AA20" t="s">
        <v>5</v>
      </c>
    </row>
    <row r="21" spans="1:67" x14ac:dyDescent="0.25">
      <c r="A21" s="6"/>
      <c r="B21" t="s">
        <v>32</v>
      </c>
      <c r="C21" t="s">
        <v>4</v>
      </c>
      <c r="D21">
        <f t="shared" ref="D21:D36" si="14">COUNTIF(G21:DB21,"X")</f>
        <v>2</v>
      </c>
      <c r="E21" s="9">
        <v>45954</v>
      </c>
      <c r="F21" s="9">
        <v>45954</v>
      </c>
      <c r="AB21" t="s">
        <v>6</v>
      </c>
      <c r="AC21" t="s">
        <v>6</v>
      </c>
    </row>
    <row r="22" spans="1:67" x14ac:dyDescent="0.25">
      <c r="A22" s="6"/>
      <c r="B22" t="s">
        <v>32</v>
      </c>
      <c r="C22" t="s">
        <v>5</v>
      </c>
      <c r="D22">
        <f t="shared" ref="D22:D36" si="15">COUNTIF(G22:DB22,"C")</f>
        <v>2</v>
      </c>
      <c r="E22" s="9">
        <v>45954</v>
      </c>
      <c r="F22" s="9">
        <v>45961</v>
      </c>
      <c r="Z22" t="s">
        <v>5</v>
      </c>
      <c r="AA22" t="s">
        <v>5</v>
      </c>
    </row>
    <row r="23" spans="1:67" x14ac:dyDescent="0.25">
      <c r="A23" s="6"/>
      <c r="B23" t="s">
        <v>33</v>
      </c>
      <c r="C23" t="s">
        <v>4</v>
      </c>
      <c r="D23">
        <f t="shared" ref="D23:D36" si="16">COUNTIF(G23:DB23,"X")</f>
        <v>2</v>
      </c>
      <c r="E23" s="9">
        <v>45954</v>
      </c>
      <c r="F23" s="9">
        <v>45954</v>
      </c>
      <c r="AD23" t="s">
        <v>6</v>
      </c>
      <c r="AE23" t="s">
        <v>6</v>
      </c>
    </row>
    <row r="24" spans="1:67" x14ac:dyDescent="0.25">
      <c r="A24" s="6"/>
      <c r="B24" t="s">
        <v>33</v>
      </c>
      <c r="C24" t="s">
        <v>5</v>
      </c>
      <c r="D24">
        <f t="shared" ref="D24:D36" si="17">COUNTIF(G24:DB24,"C")</f>
        <v>1</v>
      </c>
      <c r="E24" s="9">
        <v>45954</v>
      </c>
      <c r="F24" s="9">
        <v>45961</v>
      </c>
      <c r="AB24" t="s">
        <v>5</v>
      </c>
    </row>
    <row r="25" spans="1:67" x14ac:dyDescent="0.25">
      <c r="A25" s="6" t="s">
        <v>18</v>
      </c>
      <c r="B25" t="s">
        <v>19</v>
      </c>
      <c r="C25" t="s">
        <v>4</v>
      </c>
      <c r="D25">
        <f t="shared" ref="D25:D36" si="18">COUNTIF(G25:DB25,"X")</f>
        <v>8</v>
      </c>
      <c r="E25" s="9">
        <v>45954</v>
      </c>
      <c r="F25" s="9">
        <v>45961</v>
      </c>
      <c r="AF25" t="s">
        <v>6</v>
      </c>
      <c r="AG25" t="s">
        <v>6</v>
      </c>
      <c r="AH25" t="s">
        <v>6</v>
      </c>
      <c r="AI25" t="s">
        <v>6</v>
      </c>
      <c r="AJ25" t="s">
        <v>6</v>
      </c>
      <c r="AK25" t="s">
        <v>6</v>
      </c>
      <c r="AL25" t="s">
        <v>6</v>
      </c>
      <c r="AM25" t="s">
        <v>6</v>
      </c>
    </row>
    <row r="26" spans="1:67" x14ac:dyDescent="0.25">
      <c r="A26" s="6"/>
      <c r="B26" t="s">
        <v>19</v>
      </c>
      <c r="C26" t="s">
        <v>5</v>
      </c>
      <c r="D26">
        <f t="shared" ref="D26:D36" si="19">COUNTIF(G26:DB26,"C")</f>
        <v>10</v>
      </c>
      <c r="E26" s="9">
        <v>45961</v>
      </c>
      <c r="F26" s="9">
        <v>45975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</row>
    <row r="27" spans="1:67" x14ac:dyDescent="0.25">
      <c r="A27" s="6"/>
      <c r="B27" t="s">
        <v>22</v>
      </c>
      <c r="C27" t="s">
        <v>4</v>
      </c>
      <c r="D27">
        <f t="shared" ref="D27:D36" si="20">COUNTIF(G27:DB27,"X")</f>
        <v>12</v>
      </c>
      <c r="E27" s="9">
        <v>45961</v>
      </c>
      <c r="F27" s="9">
        <v>45982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6</v>
      </c>
      <c r="AT27" t="s">
        <v>6</v>
      </c>
      <c r="AU27" t="s">
        <v>6</v>
      </c>
      <c r="AV27" t="s">
        <v>6</v>
      </c>
      <c r="AW27" t="s">
        <v>6</v>
      </c>
      <c r="AX27" t="s">
        <v>6</v>
      </c>
      <c r="AY27" t="s">
        <v>6</v>
      </c>
    </row>
    <row r="28" spans="1:67" x14ac:dyDescent="0.25">
      <c r="A28" s="6"/>
      <c r="B28" t="s">
        <v>22</v>
      </c>
      <c r="C28" t="s">
        <v>5</v>
      </c>
      <c r="D28">
        <f t="shared" ref="D28:D36" si="21">COUNTIF(G28:DB28,"C")</f>
        <v>8</v>
      </c>
      <c r="E28" s="9">
        <v>45975</v>
      </c>
      <c r="F28" s="9">
        <v>45982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</row>
    <row r="29" spans="1:67" x14ac:dyDescent="0.25">
      <c r="A29" s="6"/>
      <c r="B29" t="s">
        <v>23</v>
      </c>
      <c r="C29" t="s">
        <v>4</v>
      </c>
      <c r="D29">
        <f t="shared" ref="D29:D36" si="22">COUNTIF(G29:DB29,"X")</f>
        <v>16</v>
      </c>
      <c r="E29" s="9">
        <v>45982</v>
      </c>
      <c r="F29" s="9">
        <v>45966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</row>
    <row r="30" spans="1:67" x14ac:dyDescent="0.25">
      <c r="A30" s="6"/>
      <c r="B30" t="s">
        <v>23</v>
      </c>
      <c r="C30" t="s">
        <v>5</v>
      </c>
      <c r="D30">
        <f t="shared" ref="D30:D36" si="23">COUNTIF(G30:DB30,"C")</f>
        <v>12</v>
      </c>
      <c r="E30" s="9">
        <v>45982</v>
      </c>
      <c r="F30" s="9">
        <v>45989</v>
      </c>
      <c r="AU30" t="s">
        <v>5</v>
      </c>
      <c r="AV30" t="s">
        <v>5</v>
      </c>
      <c r="AW30" t="s">
        <v>5</v>
      </c>
      <c r="AX30" t="s">
        <v>5</v>
      </c>
      <c r="AY30" t="s">
        <v>5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</row>
    <row r="31" spans="1:67" x14ac:dyDescent="0.25">
      <c r="A31" s="6"/>
      <c r="B31" t="s">
        <v>24</v>
      </c>
      <c r="C31" t="s">
        <v>4</v>
      </c>
      <c r="D31">
        <f t="shared" ref="D31:D36" si="24">COUNTIF(G31:DB31,"X")</f>
        <v>2</v>
      </c>
      <c r="E31" s="9">
        <v>45982</v>
      </c>
      <c r="F31" s="9">
        <v>45982</v>
      </c>
      <c r="AZ31" t="s">
        <v>6</v>
      </c>
      <c r="BA31" t="s">
        <v>6</v>
      </c>
    </row>
    <row r="32" spans="1:67" x14ac:dyDescent="0.25">
      <c r="A32" s="6"/>
      <c r="B32" t="s">
        <v>24</v>
      </c>
      <c r="C32" t="s">
        <v>5</v>
      </c>
      <c r="D32">
        <f t="shared" ref="D32:D36" si="25">COUNTIF(G32:DB32,"C")</f>
        <v>2</v>
      </c>
      <c r="E32" s="9">
        <v>45989</v>
      </c>
      <c r="F32" s="9">
        <v>45989</v>
      </c>
      <c r="AY32" t="s">
        <v>5</v>
      </c>
      <c r="AZ32" t="s">
        <v>5</v>
      </c>
    </row>
    <row r="33" spans="1:82" x14ac:dyDescent="0.25">
      <c r="A33" s="6"/>
      <c r="B33" t="s">
        <v>25</v>
      </c>
      <c r="C33" t="s">
        <v>4</v>
      </c>
      <c r="D33">
        <f t="shared" ref="D33:D36" si="26">COUNTIF(G33:DB33,"X")</f>
        <v>8</v>
      </c>
      <c r="E33" s="9">
        <v>45996</v>
      </c>
      <c r="F33" s="9">
        <v>46003</v>
      </c>
      <c r="BP33" t="s">
        <v>6</v>
      </c>
      <c r="BQ33" t="s">
        <v>6</v>
      </c>
      <c r="BR33" t="s">
        <v>6</v>
      </c>
      <c r="BS33" t="s">
        <v>6</v>
      </c>
      <c r="BT33" t="s">
        <v>6</v>
      </c>
      <c r="BU33" t="s">
        <v>6</v>
      </c>
      <c r="BV33" t="s">
        <v>6</v>
      </c>
      <c r="BW33" t="s">
        <v>6</v>
      </c>
    </row>
    <row r="34" spans="1:82" x14ac:dyDescent="0.25">
      <c r="A34" s="6"/>
      <c r="B34" t="s">
        <v>25</v>
      </c>
      <c r="C34" t="s">
        <v>5</v>
      </c>
      <c r="D34">
        <f t="shared" ref="D34:D36" si="27">COUNTIF(G34:DB34,"C")</f>
        <v>0</v>
      </c>
      <c r="E34" s="1"/>
      <c r="F34" s="1"/>
    </row>
    <row r="35" spans="1:82" x14ac:dyDescent="0.25">
      <c r="A35" s="5" t="s">
        <v>20</v>
      </c>
      <c r="B35" t="s">
        <v>21</v>
      </c>
      <c r="C35" t="s">
        <v>4</v>
      </c>
      <c r="D35">
        <f t="shared" ref="D35:D36" si="28">COUNTIF(G35:DB35,"X")</f>
        <v>76</v>
      </c>
      <c r="E35" s="9">
        <v>45926</v>
      </c>
      <c r="F35" s="9">
        <v>46003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  <c r="AI35" t="s">
        <v>6</v>
      </c>
      <c r="AJ35" t="s">
        <v>6</v>
      </c>
      <c r="AK35" t="s">
        <v>6</v>
      </c>
      <c r="AL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6</v>
      </c>
      <c r="AS35" t="s">
        <v>6</v>
      </c>
      <c r="AT35" t="s">
        <v>6</v>
      </c>
      <c r="AU35" t="s">
        <v>6</v>
      </c>
      <c r="AV35" t="s">
        <v>6</v>
      </c>
      <c r="AW35" t="s">
        <v>6</v>
      </c>
      <c r="AX35" t="s">
        <v>6</v>
      </c>
      <c r="AY35" t="s">
        <v>6</v>
      </c>
      <c r="AZ35" t="s">
        <v>6</v>
      </c>
      <c r="BA35" t="s">
        <v>6</v>
      </c>
      <c r="BB35" t="s">
        <v>6</v>
      </c>
      <c r="BC35" t="s">
        <v>6</v>
      </c>
      <c r="BD35" t="s">
        <v>6</v>
      </c>
      <c r="BE35" t="s">
        <v>6</v>
      </c>
      <c r="BF35" t="s">
        <v>6</v>
      </c>
      <c r="BG35" t="s">
        <v>6</v>
      </c>
      <c r="BH35" t="s">
        <v>6</v>
      </c>
      <c r="BI35" t="s">
        <v>6</v>
      </c>
      <c r="BJ35" t="s">
        <v>6</v>
      </c>
      <c r="BK35" t="s">
        <v>6</v>
      </c>
      <c r="BL35" t="s">
        <v>6</v>
      </c>
      <c r="BM35" t="s">
        <v>6</v>
      </c>
      <c r="BN35" t="s">
        <v>6</v>
      </c>
      <c r="BO35" t="s">
        <v>6</v>
      </c>
      <c r="BP35" t="s">
        <v>6</v>
      </c>
      <c r="BQ35" t="s">
        <v>6</v>
      </c>
      <c r="BR35" t="s">
        <v>6</v>
      </c>
      <c r="BS35" t="s">
        <v>6</v>
      </c>
      <c r="BT35" t="s">
        <v>6</v>
      </c>
      <c r="BU35" t="s">
        <v>6</v>
      </c>
      <c r="BV35" t="s">
        <v>6</v>
      </c>
      <c r="BW35" t="s">
        <v>6</v>
      </c>
      <c r="BX35" t="s">
        <v>6</v>
      </c>
      <c r="BY35" t="s">
        <v>6</v>
      </c>
      <c r="BZ35" t="s">
        <v>6</v>
      </c>
      <c r="CA35" t="s">
        <v>6</v>
      </c>
      <c r="CB35" t="s">
        <v>6</v>
      </c>
      <c r="CC35" t="s">
        <v>6</v>
      </c>
      <c r="CD35" t="s">
        <v>6</v>
      </c>
    </row>
    <row r="36" spans="1:82" x14ac:dyDescent="0.25">
      <c r="A36" s="5" t="s">
        <v>20</v>
      </c>
      <c r="B36" t="s">
        <v>21</v>
      </c>
      <c r="C36" t="s">
        <v>5</v>
      </c>
      <c r="D36">
        <f t="shared" ref="D36" si="29">COUNTIF(G36:DB36,"C")</f>
        <v>76</v>
      </c>
      <c r="E36" s="9">
        <v>45926</v>
      </c>
      <c r="F36" s="9">
        <v>46003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5</v>
      </c>
      <c r="BO36" t="s">
        <v>5</v>
      </c>
      <c r="BP36" t="s">
        <v>5</v>
      </c>
      <c r="BQ36" t="s">
        <v>5</v>
      </c>
      <c r="BR36" t="s">
        <v>5</v>
      </c>
      <c r="BS36" t="s">
        <v>5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t="s">
        <v>5</v>
      </c>
      <c r="CB36" t="s">
        <v>5</v>
      </c>
      <c r="CC36" t="s">
        <v>5</v>
      </c>
      <c r="CD36" t="s">
        <v>5</v>
      </c>
    </row>
    <row r="37" spans="1:82" x14ac:dyDescent="0.25">
      <c r="A37" s="5"/>
      <c r="E37" s="1"/>
      <c r="F37" s="1"/>
    </row>
    <row r="38" spans="1:82" x14ac:dyDescent="0.25">
      <c r="A38" s="5"/>
      <c r="E38" s="1"/>
      <c r="F38" s="1"/>
    </row>
    <row r="39" spans="1:82" x14ac:dyDescent="0.25">
      <c r="A39" s="5"/>
      <c r="E39" s="1"/>
      <c r="F39" s="1"/>
    </row>
    <row r="40" spans="1:82" x14ac:dyDescent="0.25">
      <c r="A40" s="5"/>
      <c r="E40" s="1"/>
      <c r="F40" s="1"/>
    </row>
    <row r="42" spans="1:82" x14ac:dyDescent="0.25">
      <c r="P42" s="10"/>
    </row>
    <row r="46" spans="1:82" x14ac:dyDescent="0.25">
      <c r="E46" s="8"/>
    </row>
    <row r="48" spans="1:82" x14ac:dyDescent="0.25">
      <c r="B48" s="7"/>
      <c r="C48" s="7"/>
    </row>
    <row r="49" spans="2:3" x14ac:dyDescent="0.25">
      <c r="B49" s="8"/>
      <c r="C49" s="8"/>
    </row>
    <row r="50" spans="2:3" x14ac:dyDescent="0.25">
      <c r="B50" s="8"/>
      <c r="C50" s="8"/>
    </row>
    <row r="51" spans="2:3" x14ac:dyDescent="0.25">
      <c r="B51" s="8"/>
      <c r="C51" s="8"/>
    </row>
    <row r="52" spans="2:3" x14ac:dyDescent="0.25">
      <c r="B52" s="8"/>
      <c r="C52" s="8"/>
    </row>
    <row r="53" spans="2:3" x14ac:dyDescent="0.25">
      <c r="B53" s="7"/>
      <c r="C53" s="7"/>
    </row>
    <row r="54" spans="2:3" x14ac:dyDescent="0.25">
      <c r="B54" s="8"/>
      <c r="C54" s="8"/>
    </row>
    <row r="55" spans="2:3" x14ac:dyDescent="0.25">
      <c r="B55" s="8"/>
      <c r="C55" s="8"/>
    </row>
  </sheetData>
  <autoFilter ref="C4:C40" xr:uid="{1DA46DB9-5F8C-49EF-8630-6602A5C49412}"/>
  <mergeCells count="58">
    <mergeCell ref="BW3:CD3"/>
    <mergeCell ref="BW4:BX4"/>
    <mergeCell ref="BY4:BZ4"/>
    <mergeCell ref="CA4:CB4"/>
    <mergeCell ref="CC4:CD4"/>
    <mergeCell ref="AQ3:AX3"/>
    <mergeCell ref="AY3:BF3"/>
    <mergeCell ref="BG3:BN3"/>
    <mergeCell ref="BO3:BV3"/>
    <mergeCell ref="AQ4:AR4"/>
    <mergeCell ref="AS4:AT4"/>
    <mergeCell ref="AU4:AV4"/>
    <mergeCell ref="AW4:AX4"/>
    <mergeCell ref="AY4:AZ4"/>
    <mergeCell ref="BA4:BB4"/>
    <mergeCell ref="BK4:BL4"/>
    <mergeCell ref="BM4:BN4"/>
    <mergeCell ref="BO4:BP4"/>
    <mergeCell ref="BQ4:BR4"/>
    <mergeCell ref="BS4:BT4"/>
    <mergeCell ref="BU4:BV4"/>
    <mergeCell ref="A25:A34"/>
    <mergeCell ref="M4:N4"/>
    <mergeCell ref="K4:L4"/>
    <mergeCell ref="K3:O3"/>
    <mergeCell ref="P3:S3"/>
    <mergeCell ref="P4:Q4"/>
    <mergeCell ref="R4:S4"/>
    <mergeCell ref="T4:U4"/>
    <mergeCell ref="V4:W4"/>
    <mergeCell ref="BC4:BD4"/>
    <mergeCell ref="BE4:BF4"/>
    <mergeCell ref="BG4:BH4"/>
    <mergeCell ref="BI4:BJ4"/>
    <mergeCell ref="A5:A12"/>
    <mergeCell ref="X4:Y4"/>
    <mergeCell ref="AM4:AN4"/>
    <mergeCell ref="AO4:AP4"/>
    <mergeCell ref="AI3:AP3"/>
    <mergeCell ref="AA4:AB4"/>
    <mergeCell ref="AC4:AD4"/>
    <mergeCell ref="AE4:AF4"/>
    <mergeCell ref="AG4:AH4"/>
    <mergeCell ref="AI4:AJ4"/>
    <mergeCell ref="AK4:AL4"/>
    <mergeCell ref="T3:Z3"/>
    <mergeCell ref="AA3:AH3"/>
    <mergeCell ref="B48:C48"/>
    <mergeCell ref="B53:C53"/>
    <mergeCell ref="G3:J3"/>
    <mergeCell ref="G4:H4"/>
    <mergeCell ref="I4:J4"/>
    <mergeCell ref="A13:A24"/>
    <mergeCell ref="CY3:DB3"/>
    <mergeCell ref="CI3:CL3"/>
    <mergeCell ref="CM3:CP3"/>
    <mergeCell ref="CQ3:CT3"/>
    <mergeCell ref="CU3:CX3"/>
  </mergeCells>
  <phoneticPr fontId="2" type="noConversion"/>
  <conditionalFormatting sqref="BE27:DB27 BG31:DB31 BS35:DB37 G37:BM37 G38:DB38 G39:BM39 BO39:BQ39 BS39:DB39 G40:DB40 AF19:DB19 G5:DB18 G19:AC19 G20:DB26 G27:AL27 AN27:AY27 G28:DB30 G31:BE31 G32:DB34 G35:CM35 G36:CE36">
    <cfRule type="cellIs" dxfId="1" priority="2" operator="equal">
      <formula>"X"</formula>
    </cfRule>
  </conditionalFormatting>
  <conditionalFormatting sqref="AF19:DB19 G5:DB18 G19:AC19 G20:DB26 G27:AL27 AN27:DB27 G28:DB40">
    <cfRule type="containsText" dxfId="0" priority="1" operator="containsText" text="C">
      <formula>NOT(ISERROR(SEARCH("C",G5)))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Mascaro</dc:creator>
  <cp:lastModifiedBy>ghd587@cpt.local</cp:lastModifiedBy>
  <dcterms:created xsi:type="dcterms:W3CDTF">2023-12-06T12:00:25Z</dcterms:created>
  <dcterms:modified xsi:type="dcterms:W3CDTF">2025-12-19T10:34:41Z</dcterms:modified>
</cp:coreProperties>
</file>